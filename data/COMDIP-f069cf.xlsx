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28B7E4AD-D789-4340-8F03-CD01FE48F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8" i="1" l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<sst xmlns="http://schemas.openxmlformats.org/spreadsheetml/2006/main" count="303" uniqueCount="152">
  <si>
    <t>[ CZ273 CR1015 801013 ]  CRUZETA CARDAN MB 0 400 UPA</t>
  </si>
  <si>
    <t>MERITOR</t>
  </si>
  <si>
    <t>UN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</si>
  <si>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</si>
  <si>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</si>
  <si>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</si>
  <si>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</si>
  <si>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</si>
  <si>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</si>
  <si>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[ 104892 ]  CABO CAMBIO FORD CARGO NOVO 3132 1932 6X4</t>
  </si>
  <si>
    <t>CABOVEL</t>
  </si>
  <si>
    <t>[ 20166 BZ0430 ]  BOMBA AGUA VOLVO VM220 270 330 MWM X15 MAXFORCCE</t>
  </si>
  <si>
    <t>SCHADEK</t>
  </si>
  <si>
    <t>[ R2262RF ]  COXIM CABINE DIANT VOLVO VM 2008 A 2019 ORIGINAL</t>
  </si>
  <si>
    <t>SUPORTE REI</t>
  </si>
  <si>
    <t>[ 8PK1480 ]  CORREIA ALT BOMBA AGUA 8PK1480 MB OM904/906 VOLKS MWM</t>
  </si>
  <si>
    <t>[ 513007110 ]  CONJUNTO CILINDRO MESTRE E AUXILIAR ESCRAVO IVECO DAILLY</t>
  </si>
  <si>
    <t>LUK</t>
  </si>
  <si>
    <t>[ 680493 BRD1037 ]  ARTICULACAO AXIAL L200 TRITON 2008</t>
  </si>
  <si>
    <t>PERFECT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</si>
  <si>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</si>
  <si>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</si>
  <si>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</si>
  <si>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</si>
  <si>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</si>
  <si>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</si>
  <si>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</si>
  <si>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</si>
  <si>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</si>
  <si>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</si>
  <si>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</si>
  <si>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</si>
  <si>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</si>
  <si>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</si>
  <si>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TECFIL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</si>
  <si>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</si>
  <si>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</si>
  <si>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</si>
  <si>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</si>
  <si>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FAP2219 ARL6080 C210 ]  FILTRO DE AR FOX GOL POLO VIRTUS</t>
  </si>
  <si>
    <t>[ 0986BF0591 CU2141 AK ]  FILTRO AR CONDICIONADO S10 TOYOYA HILUX 2013</t>
  </si>
  <si>
    <t>BOSCH</t>
  </si>
  <si>
    <t>[ MB4461 51940090 1068 ]  COXIM MOTOR LD FIAT PALIO SIENA MOBI</t>
  </si>
  <si>
    <t>MOBENSANI</t>
  </si>
  <si>
    <t>[ Gl13776 ]  AMORTECEDOR TRAS STRADA PICKUP TODOS MODELOS 2020...</t>
  </si>
  <si>
    <t>[ 7406 7089425 CIR0105 ]  CILINDRO RODA TRAS LD LE FIAT STRADA ENDURANCE 2021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</si>
  <si>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</si>
  <si>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</si>
  <si>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</si>
  <si>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</si>
  <si>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</si>
  <si>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</si>
  <si>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</si>
  <si>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</si>
  <si>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MB4436 1091SAMPEL LT ]  COXIM DO CAMBIO NOVO UNO 1.0 1.4 STRADA</t>
  </si>
  <si>
    <t>AUTHOMIX</t>
  </si>
  <si>
    <t>[ 12PK1830 ]  CORREIA GIR ALT ACD STRALI CURSO 12PK1830</t>
  </si>
  <si>
    <t>[ LA1300 ACP607 CU3400 ]  FILTRO AR CONDICIONADO SPRINTER 314 416 516 CDI 2020 DIANTE</t>
  </si>
  <si>
    <t>[ HX15 PH346 ]  FILTRO DIRECAO HIDR VOLVO VW FORD MB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</si>
  <si>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</si>
  <si>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</si>
  <si>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</si>
  <si>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</si>
  <si>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[ MB4481 1159SAMPEL ]  COXIM MOTOR LE FIAT ARGO MOBI CRONOS</t>
  </si>
  <si>
    <t>[ ACP9691 ACP969 LA678 CU4469 ]  FILTRO AR CONDICIONADO MB AXOR 2640 OM457 926</t>
  </si>
  <si>
    <t>Descrição</t>
  </si>
  <si>
    <t>Marca (Se for Marca Específica)</t>
  </si>
  <si>
    <t>QTD</t>
  </si>
  <si>
    <t>[ 02713BRY ]  RETENTOR RODA TRAZ DUPLO MB VOLKS FORD</t>
  </si>
  <si>
    <t>SABO</t>
  </si>
  <si>
    <t>[ 7439BYF ]  RETENTOR RODA TRAS VW AGRAL VOLAR A6 W8</t>
  </si>
  <si>
    <t>[ 0281006325 BG8X9F479 ]  SENSOR PRESSAO COMBUSTIVEL CONSTELLATION 25320E 24250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</si>
  <si>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</si>
  <si>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</si>
  <si>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</si>
  <si>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</si>
  <si>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</si>
  <si>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AS840 LXS431 ]  PRE FILTRO AR MB1935 355 447 449 SC VOLV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</si>
  <si>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</si>
  <si>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</si>
  <si>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</si>
  <si>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</si>
  <si>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</si>
  <si>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</si>
  <si>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</si>
  <si>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</si>
  <si>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</si>
  <si>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</si>
  <si>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</si>
  <si>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</si>
  <si>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</si>
  <si>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</si>
  <si>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</si>
  <si>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</si>
  <si>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</si>
  <si>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</si>
  <si>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[ 0928400757 1462C0099 ]  VALVULA REGULADORA PRESSAO OLEO IVECO DAILY</t>
  </si>
  <si>
    <t>[ TY327CP ]  JG SAPATA FREIO HILUX 2.5 2008 2.7 E 2.8 2016 3.2 SW4 2005</t>
  </si>
  <si>
    <t>[ ALR0064 VKBC3577 713 ]  ROLAMENTO RODA DIANT FIAT STRADA ARGO UNO NOVO</t>
  </si>
  <si>
    <t>IMA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</si>
  <si>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</si>
  <si>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</si>
  <si>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</si>
  <si>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</si>
  <si>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</si>
  <si>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</si>
  <si>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HF37 RPTA00380 ]  TAMBOR FREIO TRAS FIAT PUNTO DOBLO STRADA UNO FIORINO PAR</t>
  </si>
  <si>
    <t>[ 12460 112190 ]  JOGO CABO CAMBIO ENGATE SELECAO ONIBUS VW5150 8160 9160</t>
  </si>
  <si>
    <t>TUBA</t>
  </si>
  <si>
    <t>[ F00099C125 STV125  ]  JG CABO VELA IGNICAO GOL 1.0 1.6 8V POLO 2002</t>
  </si>
  <si>
    <t>[ KA1826C TKC03128 ]  KIT AMORTECEDOR DIANT STRADA NOVA 2020.. UNO 2015.. CRONOS 2018.. ARGO 2017.. PALIO</t>
  </si>
  <si>
    <t>AUTOMIX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</si>
  <si>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</si>
  <si>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</si>
  <si>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</si>
  <si>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</si>
  <si>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</si>
  <si>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</si>
  <si>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</si>
  <si>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</si>
  <si>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[ KA1370CE TKC03111 04 ]  KIT AMORTECEDOR C ROLAMENTO DIANT LE STRADA PALIO WEEKEND 08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</si>
  <si>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</si>
  <si>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</si>
  <si>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</si>
  <si>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</si>
  <si>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</si>
  <si>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[ 104606 84612 40037SC ]  JUNTA COLETOR ESCAPE PALIO SIENA STRADA 2000 DIANT</t>
  </si>
  <si>
    <t>SPAAL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</si>
  <si>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</si>
  <si>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</si>
  <si>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</si>
  <si>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</si>
  <si>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</si>
  <si>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</si>
  <si>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</si>
  <si>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</si>
  <si>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</si>
  <si>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</si>
  <si>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</si>
  <si>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N2268P  PD1603A ]  PASTILHA FREIO TRASEIRA FORD TRANSIT 2022 EM DIANTE</t>
  </si>
  <si>
    <t>[ TDI50202 335345 JTE7 ]  TERMINAL DIRECAO LD L200 4X4 3.2 DIESEL 2014 2015</t>
  </si>
  <si>
    <t>[ UX13/2KIT U58/11KIT  ]  KIT FILTRO ARLA MB ACELLO 1016 ACTROS 2545</t>
  </si>
  <si>
    <t>[ 23302PATRAL 7092334 ]  REPARO SAPATA TRASEIRA STRADA 2020</t>
  </si>
  <si>
    <t>PATRAL</t>
  </si>
  <si>
    <t>corteco</t>
  </si>
  <si>
    <t>valeo</t>
  </si>
  <si>
    <t>viscondi</t>
  </si>
  <si>
    <t>mobesani</t>
  </si>
  <si>
    <t>florio</t>
  </si>
  <si>
    <t>PREÇO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</si>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</sst>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2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N91" sqref="N91"/>
    </sheetView>
  </sheetViews>
  <sheetFormatPr defaultRowHeight="14.4" x14ac:dyDescent="0.3"/>
  <cols>
    <col min="1" max="1" width="10.88671875" bestFit="1" customWidth="1"/>
    <col min="2" max="2" width="91.44140625" customWidth="1"/>
    <col min="3" max="3" width="15.88671875" customWidth="1"/>
    <col min="4" max="4" width="3.44140625" bestFit="1" customWidth="1"/>
    <col min="5" max="5" width="4.44140625" bestFit="1" customWidth="1"/>
    <col min="6" max="6" width="10.21875" hidden="1" customWidth="1"/>
    <col min="7" max="9" width="0" hidden="1" customWidth="1"/>
    <col min="11" max="11" width="10.77734375" customWidth="1"/>
  </cols>
  <sheetData>
    <row r="1" spans="1:11" x14ac:dyDescent="0.3">
      <c r="A1" s="1" t="s">
        <v>151</v>
      </c>
      <c r="B1" s="1" t="s">
        <v>65</v>
      </c>
      <c r="C1" s="1" t="s">
        <v>66</v>
      </c>
      <c r="D1" s="1" t="s">
        <v>2</v>
      </c>
      <c r="E1" s="1" t="s">
        <v>67</v>
      </c>
      <c r="F1" s="1"/>
      <c r="G1" s="1"/>
      <c r="H1" s="1"/>
      <c r="I1" s="1"/>
      <c r="J1" s="1" t="s">
        <v>149</v>
      </c>
      <c r="K1" s="1" t="s">
        <v>150</v>
      </c>
    </row>
    <row r="2" spans="1:11" x14ac:dyDescent="0.3">
      <c r="A2" s="1">
        <v>3874</v>
      </c>
      <c r="B2" s="2" t="s">
        <v>68</v>
      </c>
      <c r="C2" s="2" t="s">
        <v>69</v>
      </c>
      <c r="D2" s="2" t="s">
        <v>2</v>
      </c>
      <c r="E2" s="1">
        <v>15</v>
      </c>
      <c r="F2" s="3">
        <v>63.98</v>
      </c>
      <c r="G2" s="4">
        <v>0.107</v>
      </c>
      <c r="H2" s="5">
        <f t="shared" ref="H2:H65" si="0">(F2*G2)-F2</f>
        <v>-57.134139999999995</v>
      </c>
      <c r="I2" s="1"/>
      <c r="J2" s="1">
        <v>57.13</v>
      </c>
      <c r="K2" s="1" t="s">
        <v>144</v>
      </c>
    </row>
    <row r="3" spans="1:11" x14ac:dyDescent="0.3">
      <c r="A3" s="1">
        <v>16940</v>
      </c>
      <c r="B3" s="2" t="s">
        <v>70</v>
      </c>
      <c r="C3" s="2" t="s">
        <v>69</v>
      </c>
      <c r="D3" s="2" t="s">
        <v>2</v>
      </c>
      <c r="E3" s="1">
        <v>2</v>
      </c>
      <c r="F3" s="3"/>
      <c r="G3" s="4">
        <v>0.107</v>
      </c>
      <c r="H3" s="5">
        <f t="shared" si="0"/>
        <v>0</v>
      </c>
      <c r="I3" s="1"/>
      <c r="J3" s="1"/>
      <c r="K3" s="1"/>
    </row>
    <row r="4" spans="1:11" x14ac:dyDescent="0.3">
      <c r="A4" s="1">
        <v>26929</v>
      </c>
      <c r="B4" s="2" t="s">
        <v>0</v>
      </c>
      <c r="C4" s="2" t="s">
        <v>1</v>
      </c>
      <c r="D4" s="2" t="s">
        <v>2</v>
      </c>
      <c r="E4" s="1">
        <v>1</v>
      </c>
      <c r="F4" s="3">
        <v>146.88999999999999</v>
      </c>
      <c r="G4" s="4">
        <v>0.107</v>
      </c>
      <c r="H4" s="5">
        <f t="shared" si="0"/>
        <v>-131.17276999999999</v>
      </c>
      <c r="I4" s="1"/>
      <c r="J4" s="1">
        <v>131.16999999999999</v>
      </c>
      <c r="K4" s="1"/>
    </row>
    <row r="5" spans="1:11" x14ac:dyDescent="0.3">
      <c r="A5" s="1">
        <v>31476</v>
      </c>
      <c r="B5" s="2" t="s">
        <v>71</v>
      </c>
      <c r="C5" s="2" t="s">
        <v>41</v>
      </c>
      <c r="D5" s="2" t="s">
        <v>2</v>
      </c>
      <c r="E5" s="1">
        <v>1</v>
      </c>
      <c r="F5" s="3"/>
      <c r="G5" s="4">
        <v>0.107</v>
      </c>
      <c r="H5" s="5">
        <f t="shared" si="0"/>
        <v>0</v>
      </c>
      <c r="I5" s="1"/>
      <c r="J5" s="1"/>
      <c r="K5" s="1"/>
    </row>
    <row r="6" spans="1:11" x14ac:dyDescent="0.3">
      <c r="A6" s="1">
        <v>105931</v>
      </c>
      <c r="B6" s="2" t="s">
        <v>72</v>
      </c>
      <c r="C6" s="2" t="s">
        <v>73</v>
      </c>
      <c r="D6" s="2" t="s">
        <v>74</v>
      </c>
      <c r="E6" s="1">
        <v>1</v>
      </c>
      <c r="F6" s="3">
        <v>183.7</v>
      </c>
      <c r="G6" s="4">
        <v>0.107</v>
      </c>
      <c r="H6" s="5">
        <f t="shared" si="0"/>
        <v>-164.04409999999999</v>
      </c>
      <c r="I6" s="1"/>
      <c r="J6" s="1">
        <v>164.04</v>
      </c>
      <c r="K6" s="1"/>
    </row>
    <row r="7" spans="1:11" x14ac:dyDescent="0.3">
      <c r="A7" s="1">
        <v>108495</v>
      </c>
      <c r="B7" s="2" t="s">
        <v>75</v>
      </c>
      <c r="C7" s="2" t="s">
        <v>73</v>
      </c>
      <c r="D7" s="2" t="s">
        <v>74</v>
      </c>
      <c r="E7" s="1">
        <v>4</v>
      </c>
      <c r="F7" s="3">
        <v>155.84</v>
      </c>
      <c r="G7" s="4">
        <v>0.107</v>
      </c>
      <c r="H7" s="5">
        <f t="shared" si="0"/>
        <v>-139.16512</v>
      </c>
      <c r="I7" s="1"/>
      <c r="J7" s="1">
        <v>139.16999999999999</v>
      </c>
      <c r="K7" s="1"/>
    </row>
    <row r="8" spans="1:11" x14ac:dyDescent="0.3">
      <c r="A8" s="1">
        <v>113671</v>
      </c>
      <c r="B8" s="2" t="s">
        <v>76</v>
      </c>
      <c r="C8" s="2" t="s">
        <v>41</v>
      </c>
      <c r="D8" s="2" t="s">
        <v>2</v>
      </c>
      <c r="E8" s="1">
        <v>3</v>
      </c>
      <c r="F8" s="3"/>
      <c r="G8" s="4">
        <v>0.107</v>
      </c>
      <c r="H8" s="5">
        <f t="shared" si="0"/>
        <v>0</v>
      </c>
      <c r="I8" s="1"/>
      <c r="J8" s="1"/>
      <c r="K8" s="1"/>
    </row>
    <row r="9" spans="1:11" x14ac:dyDescent="0.3">
      <c r="A9" s="1">
        <v>115671</v>
      </c>
      <c r="B9" s="2" t="s">
        <v>3</v>
      </c>
      <c r="C9" s="2" t="s">
        <v>4</v>
      </c>
      <c r="D9" s="2" t="s">
        <v>2</v>
      </c>
      <c r="E9" s="1">
        <v>1</v>
      </c>
      <c r="F9" s="3"/>
      <c r="G9" s="4">
        <v>0.107</v>
      </c>
      <c r="H9" s="5">
        <f t="shared" si="0"/>
        <v>0</v>
      </c>
      <c r="I9" s="1"/>
      <c r="J9" s="1"/>
      <c r="K9" s="1"/>
    </row>
    <row r="10" spans="1:11" x14ac:dyDescent="0.3">
      <c r="A10" s="1">
        <v>115687</v>
      </c>
      <c r="B10" s="2" t="s">
        <v>5</v>
      </c>
      <c r="C10" s="2" t="s">
        <v>6</v>
      </c>
      <c r="D10" s="2" t="s">
        <v>2</v>
      </c>
      <c r="E10" s="1">
        <v>2</v>
      </c>
      <c r="F10" s="3">
        <v>68.77</v>
      </c>
      <c r="G10" s="4">
        <v>0.04</v>
      </c>
      <c r="H10" s="5">
        <f t="shared" si="0"/>
        <v>-66.019199999999998</v>
      </c>
      <c r="I10" s="1"/>
      <c r="J10" s="1">
        <v>66.02</v>
      </c>
      <c r="K10" s="1"/>
    </row>
    <row r="11" spans="1:11" x14ac:dyDescent="0.3">
      <c r="A11" s="1">
        <v>115694</v>
      </c>
      <c r="B11" s="2" t="s">
        <v>7</v>
      </c>
      <c r="C11" s="2" t="s">
        <v>8</v>
      </c>
      <c r="D11" s="2" t="s">
        <v>2</v>
      </c>
      <c r="E11" s="1">
        <v>1</v>
      </c>
      <c r="F11" s="3"/>
      <c r="G11" s="4">
        <v>0.107</v>
      </c>
      <c r="H11" s="5">
        <f t="shared" si="0"/>
        <v>0</v>
      </c>
      <c r="I11" s="1"/>
      <c r="J11" s="1"/>
      <c r="K11" s="1"/>
    </row>
    <row r="12" spans="1:11" x14ac:dyDescent="0.3">
      <c r="A12" s="1">
        <v>116882</v>
      </c>
      <c r="B12" s="2" t="s">
        <v>77</v>
      </c>
      <c r="C12" s="2" t="s">
        <v>34</v>
      </c>
      <c r="D12" s="2" t="s">
        <v>2</v>
      </c>
      <c r="E12" s="1">
        <v>1</v>
      </c>
      <c r="F12" s="3"/>
      <c r="G12" s="4">
        <v>0.107</v>
      </c>
      <c r="H12" s="5">
        <f t="shared" si="0"/>
        <v>0</v>
      </c>
      <c r="I12" s="1"/>
      <c r="J12" s="1"/>
      <c r="K12" s="1"/>
    </row>
    <row r="13" spans="1:11" x14ac:dyDescent="0.3">
      <c r="A13" s="1">
        <v>116999</v>
      </c>
      <c r="B13" s="2" t="s">
        <v>78</v>
      </c>
      <c r="C13" s="2" t="s">
        <v>73</v>
      </c>
      <c r="D13" s="2" t="s">
        <v>2</v>
      </c>
      <c r="E13" s="1">
        <v>2</v>
      </c>
      <c r="F13" s="3">
        <v>260.35000000000002</v>
      </c>
      <c r="G13" s="4">
        <v>0.107</v>
      </c>
      <c r="H13" s="5">
        <f t="shared" si="0"/>
        <v>-232.49255000000002</v>
      </c>
      <c r="I13" s="1"/>
      <c r="J13" s="1">
        <v>232.49</v>
      </c>
      <c r="K13" s="1"/>
    </row>
    <row r="14" spans="1:11" x14ac:dyDescent="0.3">
      <c r="A14" s="1">
        <v>117242</v>
      </c>
      <c r="B14" s="2" t="s">
        <v>79</v>
      </c>
      <c r="C14" s="2" t="s">
        <v>34</v>
      </c>
      <c r="D14" s="2" t="s">
        <v>2</v>
      </c>
      <c r="E14" s="1">
        <v>4</v>
      </c>
      <c r="F14" s="3"/>
      <c r="G14" s="4">
        <v>0.107</v>
      </c>
      <c r="H14" s="5">
        <f t="shared" si="0"/>
        <v>0</v>
      </c>
      <c r="I14" s="1"/>
      <c r="J14" s="1"/>
      <c r="K14" s="1"/>
    </row>
    <row r="15" spans="1:11" x14ac:dyDescent="0.3">
      <c r="A15" s="1">
        <v>117611</v>
      </c>
      <c r="B15" s="2" t="s">
        <v>80</v>
      </c>
      <c r="C15" s="2" t="s">
        <v>34</v>
      </c>
      <c r="D15" s="2" t="s">
        <v>2</v>
      </c>
      <c r="E15" s="1">
        <v>1</v>
      </c>
      <c r="F15" s="3">
        <v>50.09</v>
      </c>
      <c r="G15" s="4">
        <v>0.107</v>
      </c>
      <c r="H15" s="5">
        <f t="shared" si="0"/>
        <v>-44.730370000000001</v>
      </c>
      <c r="I15" s="1"/>
      <c r="J15" s="1">
        <v>44.73</v>
      </c>
      <c r="K15" s="1"/>
    </row>
    <row r="16" spans="1:11" x14ac:dyDescent="0.3">
      <c r="A16" s="1">
        <v>119450</v>
      </c>
      <c r="B16" s="2" t="s">
        <v>81</v>
      </c>
      <c r="C16" s="2" t="s">
        <v>41</v>
      </c>
      <c r="D16" s="2" t="s">
        <v>2</v>
      </c>
      <c r="E16" s="1">
        <v>1</v>
      </c>
      <c r="F16" s="3"/>
      <c r="G16" s="4">
        <v>0.107</v>
      </c>
      <c r="H16" s="5">
        <f t="shared" si="0"/>
        <v>0</v>
      </c>
      <c r="I16" s="1"/>
      <c r="J16" s="1"/>
      <c r="K16" s="1"/>
    </row>
    <row r="17" spans="1:11" x14ac:dyDescent="0.3">
      <c r="A17" s="1">
        <v>119590</v>
      </c>
      <c r="B17" s="2" t="s">
        <v>82</v>
      </c>
      <c r="C17" s="2" t="s">
        <v>83</v>
      </c>
      <c r="D17" s="2" t="s">
        <v>2</v>
      </c>
      <c r="E17" s="1">
        <v>1</v>
      </c>
      <c r="F17" s="3"/>
      <c r="G17" s="4">
        <v>0.107</v>
      </c>
      <c r="H17" s="5">
        <f t="shared" si="0"/>
        <v>0</v>
      </c>
      <c r="I17" s="1"/>
      <c r="J17" s="1"/>
      <c r="K17" s="1"/>
    </row>
    <row r="18" spans="1:11" x14ac:dyDescent="0.3">
      <c r="A18" s="1">
        <v>119977</v>
      </c>
      <c r="B18" s="2" t="s">
        <v>84</v>
      </c>
      <c r="C18" s="2" t="s">
        <v>83</v>
      </c>
      <c r="D18" s="2" t="s">
        <v>2</v>
      </c>
      <c r="E18" s="1">
        <v>1</v>
      </c>
      <c r="F18" s="3">
        <v>1008.3</v>
      </c>
      <c r="G18" s="4">
        <v>0.107</v>
      </c>
      <c r="H18" s="5">
        <f t="shared" si="0"/>
        <v>-900.41189999999995</v>
      </c>
      <c r="I18" s="1"/>
      <c r="J18" s="1">
        <v>900.41</v>
      </c>
      <c r="K18" s="1"/>
    </row>
    <row r="19" spans="1:11" x14ac:dyDescent="0.3">
      <c r="A19" s="1">
        <v>130105</v>
      </c>
      <c r="B19" s="2" t="s">
        <v>85</v>
      </c>
      <c r="C19" s="2" t="s">
        <v>73</v>
      </c>
      <c r="D19" s="2" t="s">
        <v>74</v>
      </c>
      <c r="E19" s="1">
        <v>1</v>
      </c>
      <c r="F19" s="3">
        <v>183.89</v>
      </c>
      <c r="G19" s="4">
        <v>0.107</v>
      </c>
      <c r="H19" s="5">
        <f t="shared" si="0"/>
        <v>-164.21376999999998</v>
      </c>
      <c r="I19" s="1"/>
      <c r="J19" s="1">
        <v>164.21</v>
      </c>
      <c r="K19" s="1"/>
    </row>
    <row r="20" spans="1:11" x14ac:dyDescent="0.3">
      <c r="A20" s="1">
        <v>130191</v>
      </c>
      <c r="B20" s="2" t="s">
        <v>86</v>
      </c>
      <c r="C20" s="2" t="s">
        <v>87</v>
      </c>
      <c r="D20" s="2" t="s">
        <v>2</v>
      </c>
      <c r="E20" s="1">
        <v>1</v>
      </c>
      <c r="F20" s="3">
        <v>48.2</v>
      </c>
      <c r="G20" s="4">
        <v>0.107</v>
      </c>
      <c r="H20" s="5">
        <f t="shared" si="0"/>
        <v>-43.0426</v>
      </c>
      <c r="I20" s="1"/>
      <c r="J20" s="1">
        <v>43.04</v>
      </c>
      <c r="K20" s="1"/>
    </row>
    <row r="21" spans="1:11" x14ac:dyDescent="0.3">
      <c r="A21" s="1">
        <v>131153</v>
      </c>
      <c r="B21" s="2" t="s">
        <v>88</v>
      </c>
      <c r="C21" s="2" t="s">
        <v>89</v>
      </c>
      <c r="D21" s="2" t="s">
        <v>2</v>
      </c>
      <c r="E21" s="1">
        <v>1</v>
      </c>
      <c r="F21" s="3"/>
      <c r="G21" s="4">
        <v>0.107</v>
      </c>
      <c r="H21" s="5">
        <f t="shared" si="0"/>
        <v>0</v>
      </c>
      <c r="I21" s="1"/>
      <c r="J21" s="1"/>
      <c r="K21" s="1"/>
    </row>
    <row r="22" spans="1:11" x14ac:dyDescent="0.3">
      <c r="A22" s="1">
        <v>131778</v>
      </c>
      <c r="B22" s="2" t="s">
        <v>90</v>
      </c>
      <c r="C22" s="2" t="s">
        <v>41</v>
      </c>
      <c r="D22" s="2" t="s">
        <v>2</v>
      </c>
      <c r="E22" s="1">
        <v>1</v>
      </c>
      <c r="F22" s="3">
        <v>546.16999999999996</v>
      </c>
      <c r="G22" s="4">
        <v>0.107</v>
      </c>
      <c r="H22" s="5">
        <f t="shared" si="0"/>
        <v>-487.72980999999999</v>
      </c>
      <c r="I22" s="1"/>
      <c r="J22" s="1">
        <v>487.73</v>
      </c>
      <c r="K22" s="1"/>
    </row>
    <row r="23" spans="1:11" x14ac:dyDescent="0.3">
      <c r="A23" s="1">
        <v>133136</v>
      </c>
      <c r="B23" s="2" t="s">
        <v>9</v>
      </c>
      <c r="C23" s="2" t="s">
        <v>10</v>
      </c>
      <c r="D23" s="2" t="s">
        <v>2</v>
      </c>
      <c r="E23" s="1">
        <v>1</v>
      </c>
      <c r="F23" s="3"/>
      <c r="G23" s="4">
        <v>0.107</v>
      </c>
      <c r="H23" s="5">
        <f t="shared" si="0"/>
        <v>0</v>
      </c>
      <c r="I23" s="1"/>
      <c r="J23" s="1"/>
      <c r="K23" s="1"/>
    </row>
    <row r="24" spans="1:11" x14ac:dyDescent="0.3">
      <c r="A24" s="1">
        <v>134548</v>
      </c>
      <c r="B24" s="2" t="s">
        <v>11</v>
      </c>
      <c r="C24" s="2" t="s">
        <v>12</v>
      </c>
      <c r="D24" s="2" t="s">
        <v>2</v>
      </c>
      <c r="E24" s="1">
        <v>1</v>
      </c>
      <c r="F24" s="3"/>
      <c r="G24" s="4">
        <v>0.107</v>
      </c>
      <c r="H24" s="5">
        <f t="shared" si="0"/>
        <v>0</v>
      </c>
      <c r="I24" s="1"/>
      <c r="J24" s="1"/>
      <c r="K24" s="1"/>
    </row>
    <row r="25" spans="1:11" x14ac:dyDescent="0.3">
      <c r="A25" s="1">
        <v>134758</v>
      </c>
      <c r="B25" s="2" t="s">
        <v>91</v>
      </c>
      <c r="C25" s="2" t="s">
        <v>92</v>
      </c>
      <c r="D25" s="2" t="s">
        <v>2</v>
      </c>
      <c r="E25" s="1">
        <v>4</v>
      </c>
      <c r="F25" s="3">
        <v>99.66</v>
      </c>
      <c r="G25" s="4">
        <v>0.107</v>
      </c>
      <c r="H25" s="5">
        <f t="shared" si="0"/>
        <v>-88.996380000000002</v>
      </c>
      <c r="I25" s="1"/>
      <c r="J25" s="1">
        <v>89</v>
      </c>
      <c r="K25" s="1"/>
    </row>
    <row r="26" spans="1:11" x14ac:dyDescent="0.3">
      <c r="A26" s="1">
        <v>135087</v>
      </c>
      <c r="B26" s="2" t="s">
        <v>93</v>
      </c>
      <c r="C26" s="2" t="s">
        <v>69</v>
      </c>
      <c r="D26" s="2" t="s">
        <v>2</v>
      </c>
      <c r="E26" s="1">
        <v>2</v>
      </c>
      <c r="F26" s="3"/>
      <c r="G26" s="4">
        <v>0.107</v>
      </c>
      <c r="H26" s="5">
        <f t="shared" si="0"/>
        <v>0</v>
      </c>
      <c r="I26" s="1"/>
      <c r="J26" s="1"/>
      <c r="K26" s="1"/>
    </row>
    <row r="27" spans="1:11" x14ac:dyDescent="0.3">
      <c r="A27" s="1">
        <v>135534</v>
      </c>
      <c r="B27" s="2" t="s">
        <v>94</v>
      </c>
      <c r="C27" s="2" t="s">
        <v>95</v>
      </c>
      <c r="D27" s="2" t="s">
        <v>2</v>
      </c>
      <c r="E27" s="1">
        <v>1</v>
      </c>
      <c r="F27" s="3"/>
      <c r="G27" s="4">
        <v>0.107</v>
      </c>
      <c r="H27" s="5">
        <f t="shared" si="0"/>
        <v>0</v>
      </c>
      <c r="I27" s="1"/>
      <c r="J27" s="1"/>
      <c r="K27" s="1"/>
    </row>
    <row r="28" spans="1:11" x14ac:dyDescent="0.3">
      <c r="A28" s="1">
        <v>135789</v>
      </c>
      <c r="B28" s="2" t="s">
        <v>13</v>
      </c>
      <c r="C28" s="2" t="s">
        <v>14</v>
      </c>
      <c r="D28" s="2" t="s">
        <v>2</v>
      </c>
      <c r="E28" s="1">
        <v>2</v>
      </c>
      <c r="F28" s="3"/>
      <c r="G28" s="4">
        <v>0.107</v>
      </c>
      <c r="H28" s="5">
        <f t="shared" si="0"/>
        <v>0</v>
      </c>
      <c r="I28" s="1"/>
      <c r="J28" s="1"/>
      <c r="K28" s="1"/>
    </row>
    <row r="29" spans="1:11" x14ac:dyDescent="0.3">
      <c r="A29" s="1">
        <v>136054</v>
      </c>
      <c r="B29" s="2" t="s">
        <v>96</v>
      </c>
      <c r="C29" s="2" t="s">
        <v>41</v>
      </c>
      <c r="D29" s="2" t="s">
        <v>2</v>
      </c>
      <c r="E29" s="1">
        <v>1</v>
      </c>
      <c r="F29" s="3"/>
      <c r="G29" s="4">
        <v>0.107</v>
      </c>
      <c r="H29" s="5">
        <f t="shared" si="0"/>
        <v>0</v>
      </c>
      <c r="I29" s="1"/>
      <c r="J29" s="1"/>
      <c r="K29" s="1"/>
    </row>
    <row r="30" spans="1:11" x14ac:dyDescent="0.3">
      <c r="A30" s="1">
        <v>137793</v>
      </c>
      <c r="B30" s="2" t="s">
        <v>15</v>
      </c>
      <c r="C30" s="2" t="s">
        <v>4</v>
      </c>
      <c r="D30" s="2" t="s">
        <v>2</v>
      </c>
      <c r="E30" s="1">
        <v>1</v>
      </c>
      <c r="F30" s="3">
        <v>51</v>
      </c>
      <c r="G30" s="4">
        <v>0.04</v>
      </c>
      <c r="H30" s="5">
        <f t="shared" si="0"/>
        <v>-48.96</v>
      </c>
      <c r="I30" s="1"/>
      <c r="J30" s="1">
        <v>48.96</v>
      </c>
      <c r="K30" s="1"/>
    </row>
    <row r="31" spans="1:11" x14ac:dyDescent="0.3">
      <c r="A31" s="1">
        <v>139283</v>
      </c>
      <c r="B31" s="2" t="s">
        <v>16</v>
      </c>
      <c r="C31" s="2" t="s">
        <v>17</v>
      </c>
      <c r="D31" s="2" t="s">
        <v>2</v>
      </c>
      <c r="E31" s="1">
        <v>1</v>
      </c>
      <c r="F31" s="3"/>
      <c r="G31" s="4">
        <v>0.107</v>
      </c>
      <c r="H31" s="5">
        <f t="shared" si="0"/>
        <v>0</v>
      </c>
      <c r="I31" s="1"/>
      <c r="J31" s="1"/>
      <c r="K31" s="1"/>
    </row>
    <row r="32" spans="1:11" x14ac:dyDescent="0.3">
      <c r="A32" s="1">
        <v>142192</v>
      </c>
      <c r="B32" s="2" t="s">
        <v>18</v>
      </c>
      <c r="C32" s="2" t="s">
        <v>19</v>
      </c>
      <c r="D32" s="2" t="s">
        <v>2</v>
      </c>
      <c r="E32" s="1">
        <v>2</v>
      </c>
      <c r="F32" s="3">
        <v>41.35</v>
      </c>
      <c r="G32" s="4">
        <v>0.09</v>
      </c>
      <c r="H32" s="5">
        <f t="shared" si="0"/>
        <v>-37.628500000000003</v>
      </c>
      <c r="I32" s="1"/>
      <c r="J32" s="1">
        <v>37.630000000000003</v>
      </c>
      <c r="K32" s="1"/>
    </row>
    <row r="33" spans="1:11" x14ac:dyDescent="0.3">
      <c r="A33" s="1">
        <v>145517</v>
      </c>
      <c r="B33" s="2" t="s">
        <v>97</v>
      </c>
      <c r="C33" s="2" t="s">
        <v>87</v>
      </c>
      <c r="D33" s="2" t="s">
        <v>2</v>
      </c>
      <c r="E33" s="1">
        <v>1</v>
      </c>
      <c r="F33" s="3">
        <v>160.91</v>
      </c>
      <c r="G33" s="4">
        <v>0.04</v>
      </c>
      <c r="H33" s="5">
        <f t="shared" si="0"/>
        <v>-154.4736</v>
      </c>
      <c r="I33" s="1"/>
      <c r="J33" s="1">
        <v>154.47</v>
      </c>
      <c r="K33" s="1"/>
    </row>
    <row r="34" spans="1:11" x14ac:dyDescent="0.3">
      <c r="A34" s="1">
        <v>146627</v>
      </c>
      <c r="B34" s="2" t="s">
        <v>20</v>
      </c>
      <c r="C34" s="2" t="s">
        <v>21</v>
      </c>
      <c r="D34" s="2" t="s">
        <v>2</v>
      </c>
      <c r="E34" s="1">
        <v>2</v>
      </c>
      <c r="F34" s="3"/>
      <c r="G34" s="4">
        <v>0.107</v>
      </c>
      <c r="H34" s="5">
        <f t="shared" si="0"/>
        <v>0</v>
      </c>
      <c r="I34" s="1"/>
      <c r="J34" s="1"/>
      <c r="K34" s="1"/>
    </row>
    <row r="35" spans="1:11" x14ac:dyDescent="0.3">
      <c r="A35" s="1">
        <v>150704</v>
      </c>
      <c r="B35" s="2" t="s">
        <v>22</v>
      </c>
      <c r="C35" s="2" t="s">
        <v>23</v>
      </c>
      <c r="D35" s="2" t="s">
        <v>2</v>
      </c>
      <c r="E35" s="1">
        <v>16</v>
      </c>
      <c r="F35" s="3"/>
      <c r="G35" s="4">
        <v>0.107</v>
      </c>
      <c r="H35" s="5">
        <f t="shared" si="0"/>
        <v>0</v>
      </c>
      <c r="I35" s="1"/>
      <c r="J35" s="1"/>
      <c r="K35" s="1"/>
    </row>
    <row r="36" spans="1:11" x14ac:dyDescent="0.3">
      <c r="A36" s="1">
        <v>150704</v>
      </c>
      <c r="B36" s="2" t="s">
        <v>22</v>
      </c>
      <c r="C36" s="2" t="s">
        <v>23</v>
      </c>
      <c r="D36" s="2" t="s">
        <v>2</v>
      </c>
      <c r="E36" s="1">
        <v>16</v>
      </c>
      <c r="F36" s="3"/>
      <c r="G36" s="4">
        <v>0.107</v>
      </c>
      <c r="H36" s="5">
        <f t="shared" si="0"/>
        <v>0</v>
      </c>
      <c r="I36" s="1"/>
      <c r="J36" s="1"/>
      <c r="K36" s="1"/>
    </row>
    <row r="37" spans="1:11" x14ac:dyDescent="0.3">
      <c r="A37" s="1">
        <v>151628</v>
      </c>
      <c r="B37" s="2" t="s">
        <v>24</v>
      </c>
      <c r="C37" s="2" t="s">
        <v>25</v>
      </c>
      <c r="D37" s="2" t="s">
        <v>2</v>
      </c>
      <c r="E37" s="1">
        <v>10</v>
      </c>
      <c r="F37" s="3">
        <v>109.35</v>
      </c>
      <c r="G37" s="4">
        <v>0.107</v>
      </c>
      <c r="H37" s="5">
        <f t="shared" si="0"/>
        <v>-97.649549999999991</v>
      </c>
      <c r="I37" s="1"/>
      <c r="J37" s="1">
        <v>97.65</v>
      </c>
      <c r="K37" s="1"/>
    </row>
    <row r="38" spans="1:11" x14ac:dyDescent="0.3">
      <c r="A38" s="1">
        <v>151701</v>
      </c>
      <c r="B38" s="2" t="s">
        <v>26</v>
      </c>
      <c r="C38" s="2" t="s">
        <v>27</v>
      </c>
      <c r="D38" s="2" t="s">
        <v>2</v>
      </c>
      <c r="E38" s="1">
        <v>1</v>
      </c>
      <c r="F38" s="3">
        <v>93.52</v>
      </c>
      <c r="G38" s="4">
        <v>0.04</v>
      </c>
      <c r="H38" s="5">
        <f t="shared" si="0"/>
        <v>-89.779200000000003</v>
      </c>
      <c r="I38" s="1"/>
      <c r="J38" s="1">
        <v>89.78</v>
      </c>
      <c r="K38" s="1"/>
    </row>
    <row r="39" spans="1:11" x14ac:dyDescent="0.3">
      <c r="A39" s="1">
        <v>152947</v>
      </c>
      <c r="B39" s="2" t="s">
        <v>28</v>
      </c>
      <c r="C39" s="2" t="s">
        <v>29</v>
      </c>
      <c r="D39" s="2" t="s">
        <v>2</v>
      </c>
      <c r="E39" s="1">
        <v>8</v>
      </c>
      <c r="F39" s="3">
        <v>69.22</v>
      </c>
      <c r="G39" s="4">
        <v>0.107</v>
      </c>
      <c r="H39" s="5">
        <f t="shared" si="0"/>
        <v>-61.813459999999999</v>
      </c>
      <c r="I39" s="1"/>
      <c r="J39" s="1">
        <v>61.81</v>
      </c>
      <c r="K39" s="1"/>
    </row>
    <row r="40" spans="1:11" x14ac:dyDescent="0.3">
      <c r="A40" s="1">
        <v>153636</v>
      </c>
      <c r="B40" s="2" t="s">
        <v>98</v>
      </c>
      <c r="C40" s="2" t="s">
        <v>99</v>
      </c>
      <c r="D40" s="2" t="s">
        <v>2</v>
      </c>
      <c r="E40" s="1">
        <v>3</v>
      </c>
      <c r="F40" s="3"/>
      <c r="G40" s="4">
        <v>0.107</v>
      </c>
      <c r="H40" s="5">
        <f t="shared" si="0"/>
        <v>0</v>
      </c>
      <c r="I40" s="1"/>
      <c r="J40" s="1"/>
      <c r="K40" s="1"/>
    </row>
    <row r="41" spans="1:11" x14ac:dyDescent="0.3">
      <c r="A41" s="1">
        <v>155424</v>
      </c>
      <c r="B41" s="2" t="s">
        <v>100</v>
      </c>
      <c r="C41" s="2" t="s">
        <v>101</v>
      </c>
      <c r="D41" s="2" t="s">
        <v>2</v>
      </c>
      <c r="E41" s="1">
        <v>1</v>
      </c>
      <c r="F41" s="3"/>
      <c r="G41" s="4">
        <v>0.107</v>
      </c>
      <c r="H41" s="5">
        <f t="shared" si="0"/>
        <v>0</v>
      </c>
      <c r="I41" s="1"/>
      <c r="J41" s="1"/>
      <c r="K41" s="1"/>
    </row>
    <row r="42" spans="1:11" x14ac:dyDescent="0.3">
      <c r="A42" s="1">
        <v>157182</v>
      </c>
      <c r="B42" s="2" t="s">
        <v>102</v>
      </c>
      <c r="C42" s="2" t="s">
        <v>103</v>
      </c>
      <c r="D42" s="2" t="s">
        <v>2</v>
      </c>
      <c r="E42" s="1">
        <v>2</v>
      </c>
      <c r="F42" s="3">
        <v>112.25</v>
      </c>
      <c r="G42" s="4">
        <v>0.04</v>
      </c>
      <c r="H42" s="5">
        <f t="shared" si="0"/>
        <v>-107.76</v>
      </c>
      <c r="I42" s="1"/>
      <c r="J42" s="1">
        <v>107.76</v>
      </c>
      <c r="K42" s="1"/>
    </row>
    <row r="43" spans="1:11" x14ac:dyDescent="0.3">
      <c r="A43" s="1">
        <v>157366</v>
      </c>
      <c r="B43" s="2" t="s">
        <v>104</v>
      </c>
      <c r="C43" s="2" t="s">
        <v>19</v>
      </c>
      <c r="D43" s="2" t="s">
        <v>2</v>
      </c>
      <c r="E43" s="1">
        <v>2</v>
      </c>
      <c r="F43" s="3"/>
      <c r="G43" s="4">
        <v>0.107</v>
      </c>
      <c r="H43" s="5">
        <f t="shared" si="0"/>
        <v>0</v>
      </c>
      <c r="I43" s="1"/>
      <c r="J43" s="1"/>
      <c r="K43" s="1"/>
    </row>
    <row r="44" spans="1:11" x14ac:dyDescent="0.3">
      <c r="A44" s="1">
        <v>158249</v>
      </c>
      <c r="B44" s="2" t="s">
        <v>105</v>
      </c>
      <c r="C44" s="2" t="s">
        <v>87</v>
      </c>
      <c r="D44" s="2" t="s">
        <v>74</v>
      </c>
      <c r="E44" s="1">
        <v>5</v>
      </c>
      <c r="F44" s="3">
        <v>147.16</v>
      </c>
      <c r="G44" s="4">
        <v>0.107</v>
      </c>
      <c r="H44" s="5">
        <f t="shared" si="0"/>
        <v>-131.41388000000001</v>
      </c>
      <c r="I44" s="1"/>
      <c r="J44" s="1">
        <v>131.41</v>
      </c>
      <c r="K44" s="1"/>
    </row>
    <row r="45" spans="1:11" x14ac:dyDescent="0.3">
      <c r="A45" s="1">
        <v>158289</v>
      </c>
      <c r="B45" s="2" t="s">
        <v>30</v>
      </c>
      <c r="C45" s="2" t="s">
        <v>6</v>
      </c>
      <c r="D45" s="2" t="s">
        <v>2</v>
      </c>
      <c r="E45" s="1">
        <v>2</v>
      </c>
      <c r="F45" s="3">
        <v>62.1</v>
      </c>
      <c r="G45" s="4">
        <v>0.04</v>
      </c>
      <c r="H45" s="5">
        <f t="shared" si="0"/>
        <v>-59.616</v>
      </c>
      <c r="I45" s="1"/>
      <c r="J45" s="1">
        <v>59.62</v>
      </c>
      <c r="K45" s="1"/>
    </row>
    <row r="46" spans="1:11" x14ac:dyDescent="0.3">
      <c r="A46" s="1">
        <v>158332</v>
      </c>
      <c r="B46" s="2" t="s">
        <v>31</v>
      </c>
      <c r="C46" s="2" t="s">
        <v>19</v>
      </c>
      <c r="D46" s="2" t="s">
        <v>2</v>
      </c>
      <c r="E46" s="1">
        <v>1</v>
      </c>
      <c r="F46" s="3">
        <v>158.97</v>
      </c>
      <c r="G46" s="4">
        <v>0.107</v>
      </c>
      <c r="H46" s="5">
        <f t="shared" si="0"/>
        <v>-141.96020999999999</v>
      </c>
      <c r="I46" s="1"/>
      <c r="J46" s="1">
        <v>141.96</v>
      </c>
      <c r="K46" s="1"/>
    </row>
    <row r="47" spans="1:11" x14ac:dyDescent="0.3">
      <c r="A47" s="1">
        <v>158353</v>
      </c>
      <c r="B47" s="2" t="s">
        <v>32</v>
      </c>
      <c r="C47" s="2" t="s">
        <v>19</v>
      </c>
      <c r="D47" s="2" t="s">
        <v>2</v>
      </c>
      <c r="E47" s="1">
        <v>1</v>
      </c>
      <c r="F47" s="3">
        <v>158.97</v>
      </c>
      <c r="G47" s="4">
        <v>0.107</v>
      </c>
      <c r="H47" s="5">
        <f t="shared" si="0"/>
        <v>-141.96020999999999</v>
      </c>
      <c r="I47" s="1"/>
      <c r="J47" s="1">
        <v>141.96</v>
      </c>
      <c r="K47" s="1"/>
    </row>
    <row r="48" spans="1:11" x14ac:dyDescent="0.3">
      <c r="A48" s="1">
        <v>158360</v>
      </c>
      <c r="B48" s="2" t="s">
        <v>33</v>
      </c>
      <c r="C48" s="2" t="s">
        <v>34</v>
      </c>
      <c r="D48" s="2" t="s">
        <v>2</v>
      </c>
      <c r="E48" s="1">
        <v>1</v>
      </c>
      <c r="F48" s="3">
        <v>127.68</v>
      </c>
      <c r="G48" s="4">
        <v>0.107</v>
      </c>
      <c r="H48" s="5">
        <f t="shared" si="0"/>
        <v>-114.01824000000001</v>
      </c>
      <c r="I48" s="1"/>
      <c r="J48" s="1">
        <v>114.02</v>
      </c>
      <c r="K48" s="1"/>
    </row>
    <row r="49" spans="1:11" x14ac:dyDescent="0.3">
      <c r="A49" s="1">
        <v>158843</v>
      </c>
      <c r="B49" s="2" t="s">
        <v>106</v>
      </c>
      <c r="C49" s="2" t="s">
        <v>29</v>
      </c>
      <c r="D49" s="2" t="s">
        <v>2</v>
      </c>
      <c r="E49" s="1">
        <v>10</v>
      </c>
      <c r="F49" s="3">
        <v>90.53</v>
      </c>
      <c r="G49" s="4">
        <v>0.107</v>
      </c>
      <c r="H49" s="5">
        <f t="shared" si="0"/>
        <v>-80.843289999999996</v>
      </c>
      <c r="I49" s="1"/>
      <c r="J49" s="1">
        <v>80.84</v>
      </c>
      <c r="K49" s="1"/>
    </row>
    <row r="50" spans="1:11" x14ac:dyDescent="0.3">
      <c r="A50" s="1">
        <v>159172</v>
      </c>
      <c r="B50" s="2" t="s">
        <v>35</v>
      </c>
      <c r="C50" s="2" t="s">
        <v>25</v>
      </c>
      <c r="D50" s="2" t="s">
        <v>2</v>
      </c>
      <c r="E50" s="1">
        <v>4</v>
      </c>
      <c r="F50" s="3">
        <v>162.91</v>
      </c>
      <c r="G50" s="4">
        <v>0.107</v>
      </c>
      <c r="H50" s="5">
        <f t="shared" si="0"/>
        <v>-145.47863000000001</v>
      </c>
      <c r="I50" s="1"/>
      <c r="J50" s="1">
        <v>145.47999999999999</v>
      </c>
      <c r="K50" s="1"/>
    </row>
    <row r="51" spans="1:11" x14ac:dyDescent="0.3">
      <c r="A51" s="1">
        <v>160208</v>
      </c>
      <c r="B51" s="2" t="s">
        <v>36</v>
      </c>
      <c r="C51" s="2" t="s">
        <v>37</v>
      </c>
      <c r="D51" s="2" t="s">
        <v>2</v>
      </c>
      <c r="E51" s="1">
        <v>1</v>
      </c>
      <c r="F51" s="3">
        <v>255.16</v>
      </c>
      <c r="G51" s="4">
        <v>0.107</v>
      </c>
      <c r="H51" s="5">
        <f t="shared" si="0"/>
        <v>-227.85787999999999</v>
      </c>
      <c r="I51" s="1"/>
      <c r="J51" s="1">
        <v>227.86</v>
      </c>
      <c r="K51" s="1"/>
    </row>
    <row r="52" spans="1:11" x14ac:dyDescent="0.3">
      <c r="A52" s="1">
        <v>160209</v>
      </c>
      <c r="B52" s="2" t="s">
        <v>38</v>
      </c>
      <c r="C52" s="2" t="s">
        <v>37</v>
      </c>
      <c r="D52" s="2" t="s">
        <v>2</v>
      </c>
      <c r="E52" s="1">
        <v>1</v>
      </c>
      <c r="F52" s="3"/>
      <c r="G52" s="4">
        <v>0.107</v>
      </c>
      <c r="H52" s="5">
        <f t="shared" si="0"/>
        <v>0</v>
      </c>
      <c r="I52" s="1"/>
      <c r="J52" s="1"/>
      <c r="K52" s="1"/>
    </row>
    <row r="53" spans="1:11" x14ac:dyDescent="0.3">
      <c r="A53" s="1">
        <v>160224</v>
      </c>
      <c r="B53" s="2" t="s">
        <v>107</v>
      </c>
      <c r="C53" s="2" t="s">
        <v>108</v>
      </c>
      <c r="D53" s="2" t="s">
        <v>2</v>
      </c>
      <c r="E53" s="1">
        <v>1</v>
      </c>
      <c r="F53" s="3"/>
      <c r="G53" s="4">
        <v>0.107</v>
      </c>
      <c r="H53" s="5">
        <f t="shared" si="0"/>
        <v>0</v>
      </c>
      <c r="I53" s="1"/>
      <c r="J53" s="1"/>
      <c r="K53" s="1"/>
    </row>
    <row r="54" spans="1:11" x14ac:dyDescent="0.3">
      <c r="A54" s="1">
        <v>160938</v>
      </c>
      <c r="B54" s="2" t="s">
        <v>39</v>
      </c>
      <c r="C54" s="2" t="s">
        <v>25</v>
      </c>
      <c r="D54" s="2" t="s">
        <v>2</v>
      </c>
      <c r="E54" s="1">
        <v>3</v>
      </c>
      <c r="F54" s="3">
        <v>15.5</v>
      </c>
      <c r="G54" s="4">
        <v>0.04</v>
      </c>
      <c r="H54" s="5">
        <f t="shared" si="0"/>
        <v>-14.88</v>
      </c>
      <c r="I54" s="1"/>
      <c r="J54" s="1">
        <v>14.88</v>
      </c>
      <c r="K54" s="1"/>
    </row>
    <row r="55" spans="1:11" x14ac:dyDescent="0.3">
      <c r="A55" s="1">
        <v>163945</v>
      </c>
      <c r="B55" s="2" t="s">
        <v>40</v>
      </c>
      <c r="C55" s="2" t="s">
        <v>41</v>
      </c>
      <c r="D55" s="2" t="s">
        <v>2</v>
      </c>
      <c r="E55" s="1">
        <v>7</v>
      </c>
      <c r="F55" s="3"/>
      <c r="G55" s="4">
        <v>0.107</v>
      </c>
      <c r="H55" s="5">
        <f t="shared" si="0"/>
        <v>0</v>
      </c>
      <c r="I55" s="1"/>
      <c r="J55" s="1"/>
      <c r="K55" s="1"/>
    </row>
    <row r="56" spans="1:11" x14ac:dyDescent="0.3">
      <c r="A56" s="1">
        <v>164856</v>
      </c>
      <c r="B56" s="2" t="s">
        <v>109</v>
      </c>
      <c r="C56" s="2" t="s">
        <v>41</v>
      </c>
      <c r="D56" s="2" t="s">
        <v>2</v>
      </c>
      <c r="E56" s="1">
        <v>2</v>
      </c>
      <c r="F56" s="3"/>
      <c r="G56" s="4">
        <v>0.107</v>
      </c>
      <c r="H56" s="5">
        <f t="shared" si="0"/>
        <v>0</v>
      </c>
      <c r="I56" s="1"/>
      <c r="J56" s="1"/>
      <c r="K56" s="1"/>
    </row>
    <row r="57" spans="1:11" x14ac:dyDescent="0.3">
      <c r="A57" s="1">
        <v>165225</v>
      </c>
      <c r="B57" s="2" t="s">
        <v>42</v>
      </c>
      <c r="C57" s="2" t="s">
        <v>43</v>
      </c>
      <c r="D57" s="2" t="s">
        <v>2</v>
      </c>
      <c r="E57" s="1">
        <v>1</v>
      </c>
      <c r="F57" s="3">
        <v>240.22</v>
      </c>
      <c r="G57" s="4">
        <v>0.04</v>
      </c>
      <c r="H57" s="5">
        <f t="shared" si="0"/>
        <v>-230.6112</v>
      </c>
      <c r="I57" s="1"/>
      <c r="J57" s="1">
        <v>230.61</v>
      </c>
      <c r="K57" s="1"/>
    </row>
    <row r="58" spans="1:11" x14ac:dyDescent="0.3">
      <c r="A58" s="1">
        <v>166053</v>
      </c>
      <c r="B58" s="2" t="s">
        <v>110</v>
      </c>
      <c r="C58" s="2" t="s">
        <v>111</v>
      </c>
      <c r="D58" s="2" t="s">
        <v>2</v>
      </c>
      <c r="E58" s="1">
        <v>2</v>
      </c>
      <c r="F58" s="3"/>
      <c r="G58" s="4">
        <v>0.107</v>
      </c>
      <c r="H58" s="5">
        <f t="shared" si="0"/>
        <v>0</v>
      </c>
      <c r="I58" s="1"/>
      <c r="J58" s="1"/>
      <c r="K58" s="1"/>
    </row>
    <row r="59" spans="1:11" x14ac:dyDescent="0.3">
      <c r="A59" s="1">
        <v>166175</v>
      </c>
      <c r="B59" s="2" t="s">
        <v>44</v>
      </c>
      <c r="C59" s="2" t="s">
        <v>37</v>
      </c>
      <c r="D59" s="2" t="s">
        <v>2</v>
      </c>
      <c r="E59" s="1">
        <v>4</v>
      </c>
      <c r="F59" s="3">
        <v>174.12</v>
      </c>
      <c r="G59" s="4">
        <v>0.107</v>
      </c>
      <c r="H59" s="5">
        <f t="shared" si="0"/>
        <v>-155.48916</v>
      </c>
      <c r="I59" s="1"/>
      <c r="J59" s="1">
        <v>155.49</v>
      </c>
      <c r="K59" s="1"/>
    </row>
    <row r="60" spans="1:11" x14ac:dyDescent="0.3">
      <c r="A60" s="1">
        <v>167565</v>
      </c>
      <c r="B60" s="2" t="s">
        <v>45</v>
      </c>
      <c r="C60" s="2" t="s">
        <v>19</v>
      </c>
      <c r="D60" s="2" t="s">
        <v>2</v>
      </c>
      <c r="E60" s="1">
        <v>2</v>
      </c>
      <c r="F60" s="3"/>
      <c r="G60" s="4">
        <v>0.107</v>
      </c>
      <c r="H60" s="5">
        <f t="shared" si="0"/>
        <v>0</v>
      </c>
      <c r="I60" s="1"/>
      <c r="J60" s="1"/>
      <c r="K60" s="1"/>
    </row>
    <row r="61" spans="1:11" x14ac:dyDescent="0.3">
      <c r="A61" s="1">
        <v>171335</v>
      </c>
      <c r="B61" s="2" t="s">
        <v>112</v>
      </c>
      <c r="C61" s="2" t="s">
        <v>41</v>
      </c>
      <c r="D61" s="2" t="s">
        <v>2</v>
      </c>
      <c r="E61" s="1">
        <v>4</v>
      </c>
      <c r="F61" s="3"/>
      <c r="G61" s="4">
        <v>0.107</v>
      </c>
      <c r="H61" s="5">
        <f t="shared" si="0"/>
        <v>0</v>
      </c>
      <c r="I61" s="1"/>
      <c r="J61" s="1"/>
      <c r="K61" s="1"/>
    </row>
    <row r="62" spans="1:11" x14ac:dyDescent="0.3">
      <c r="A62" s="1">
        <v>172779</v>
      </c>
      <c r="B62" s="2" t="s">
        <v>113</v>
      </c>
      <c r="C62" s="2" t="s">
        <v>114</v>
      </c>
      <c r="D62" s="2" t="s">
        <v>2</v>
      </c>
      <c r="E62" s="1">
        <v>1</v>
      </c>
      <c r="F62" s="3">
        <v>359.86</v>
      </c>
      <c r="G62" s="4">
        <v>0.107</v>
      </c>
      <c r="H62" s="5">
        <f t="shared" si="0"/>
        <v>-321.35498000000001</v>
      </c>
      <c r="I62" s="1"/>
      <c r="J62" s="1">
        <v>321.35000000000002</v>
      </c>
      <c r="K62" s="1" t="s">
        <v>145</v>
      </c>
    </row>
    <row r="63" spans="1:11" x14ac:dyDescent="0.3">
      <c r="A63" s="1">
        <v>175067</v>
      </c>
      <c r="B63" s="2" t="s">
        <v>115</v>
      </c>
      <c r="C63" s="2" t="s">
        <v>116</v>
      </c>
      <c r="D63" s="2" t="s">
        <v>2</v>
      </c>
      <c r="E63" s="1">
        <v>48</v>
      </c>
      <c r="F63" s="3"/>
      <c r="G63" s="4">
        <v>0.107</v>
      </c>
      <c r="H63" s="5">
        <f t="shared" si="0"/>
        <v>0</v>
      </c>
      <c r="I63" s="1"/>
      <c r="J63" s="1"/>
      <c r="K63" s="1"/>
    </row>
    <row r="64" spans="1:11" x14ac:dyDescent="0.3">
      <c r="A64" s="1">
        <v>179573</v>
      </c>
      <c r="B64" s="2" t="s">
        <v>117</v>
      </c>
      <c r="C64" s="2" t="s">
        <v>111</v>
      </c>
      <c r="D64" s="2" t="s">
        <v>2</v>
      </c>
      <c r="E64" s="1">
        <v>1</v>
      </c>
      <c r="F64" s="3"/>
      <c r="G64" s="4">
        <v>0.107</v>
      </c>
      <c r="H64" s="5">
        <f t="shared" si="0"/>
        <v>0</v>
      </c>
      <c r="I64" s="1"/>
      <c r="J64" s="1"/>
      <c r="K64" s="1"/>
    </row>
    <row r="65" spans="1:11" x14ac:dyDescent="0.3">
      <c r="A65" s="1">
        <v>180653</v>
      </c>
      <c r="B65" s="2" t="s">
        <v>118</v>
      </c>
      <c r="C65" s="2" t="s">
        <v>41</v>
      </c>
      <c r="D65" s="2" t="s">
        <v>2</v>
      </c>
      <c r="E65" s="1">
        <v>1</v>
      </c>
      <c r="F65" s="3"/>
      <c r="G65" s="4">
        <v>0.107</v>
      </c>
      <c r="H65" s="5">
        <f t="shared" si="0"/>
        <v>0</v>
      </c>
      <c r="I65" s="1"/>
      <c r="J65" s="1"/>
      <c r="K65" s="1"/>
    </row>
    <row r="66" spans="1:11" x14ac:dyDescent="0.3">
      <c r="A66" s="1">
        <v>182715</v>
      </c>
      <c r="B66" s="2" t="s">
        <v>119</v>
      </c>
      <c r="C66" s="2" t="s">
        <v>55</v>
      </c>
      <c r="D66" s="2" t="s">
        <v>2</v>
      </c>
      <c r="E66" s="1">
        <v>1</v>
      </c>
      <c r="F66" s="3"/>
      <c r="G66" s="4">
        <v>0.107</v>
      </c>
      <c r="H66" s="5">
        <f t="shared" ref="H66:H98" si="1">(F66*G66)-F66</f>
        <v>0</v>
      </c>
      <c r="I66" s="1"/>
      <c r="J66" s="1"/>
      <c r="K66" s="1"/>
    </row>
    <row r="67" spans="1:11" x14ac:dyDescent="0.3">
      <c r="A67" s="1">
        <v>184207</v>
      </c>
      <c r="B67" s="2" t="s">
        <v>120</v>
      </c>
      <c r="C67" s="2" t="s">
        <v>55</v>
      </c>
      <c r="D67" s="2" t="s">
        <v>2</v>
      </c>
      <c r="E67" s="1">
        <v>2</v>
      </c>
      <c r="F67" s="3"/>
      <c r="G67" s="4">
        <v>0.107</v>
      </c>
      <c r="H67" s="5">
        <f t="shared" si="1"/>
        <v>0</v>
      </c>
      <c r="I67" s="1"/>
      <c r="J67" s="1"/>
      <c r="K67" s="1"/>
    </row>
    <row r="68" spans="1:11" x14ac:dyDescent="0.3">
      <c r="A68" s="1">
        <v>185793</v>
      </c>
      <c r="B68" s="2" t="s">
        <v>46</v>
      </c>
      <c r="C68" s="2" t="s">
        <v>47</v>
      </c>
      <c r="D68" s="2" t="s">
        <v>2</v>
      </c>
      <c r="E68" s="1">
        <v>1</v>
      </c>
      <c r="F68" s="3"/>
      <c r="G68" s="4">
        <v>0.107</v>
      </c>
      <c r="H68" s="5">
        <f t="shared" si="1"/>
        <v>0</v>
      </c>
      <c r="I68" s="1"/>
      <c r="J68" s="1"/>
      <c r="K68" s="1"/>
    </row>
    <row r="69" spans="1:11" x14ac:dyDescent="0.3">
      <c r="A69" s="1">
        <v>187967</v>
      </c>
      <c r="B69" s="2" t="s">
        <v>48</v>
      </c>
      <c r="C69" s="2" t="s">
        <v>8</v>
      </c>
      <c r="D69" s="2" t="s">
        <v>2</v>
      </c>
      <c r="E69" s="1">
        <v>1</v>
      </c>
      <c r="F69" s="3"/>
      <c r="G69" s="4">
        <v>0.107</v>
      </c>
      <c r="H69" s="5">
        <f t="shared" si="1"/>
        <v>0</v>
      </c>
      <c r="I69" s="1"/>
      <c r="J69" s="1"/>
      <c r="K69" s="1"/>
    </row>
    <row r="70" spans="1:11" x14ac:dyDescent="0.3">
      <c r="A70" s="1">
        <v>188295</v>
      </c>
      <c r="B70" s="2" t="s">
        <v>49</v>
      </c>
      <c r="C70" s="2" t="s">
        <v>25</v>
      </c>
      <c r="D70" s="2" t="s">
        <v>2</v>
      </c>
      <c r="E70" s="1">
        <v>1</v>
      </c>
      <c r="F70" s="3"/>
      <c r="G70" s="4">
        <v>0.107</v>
      </c>
      <c r="H70" s="5">
        <f t="shared" si="1"/>
        <v>0</v>
      </c>
      <c r="I70" s="1"/>
      <c r="J70" s="1"/>
      <c r="K70" s="1"/>
    </row>
    <row r="71" spans="1:11" x14ac:dyDescent="0.3">
      <c r="A71" s="1">
        <v>188387</v>
      </c>
      <c r="B71" s="2" t="s">
        <v>121</v>
      </c>
      <c r="C71" s="2" t="s">
        <v>122</v>
      </c>
      <c r="D71" s="2" t="s">
        <v>2</v>
      </c>
      <c r="E71" s="1">
        <v>1</v>
      </c>
      <c r="F71" s="3">
        <v>184.36</v>
      </c>
      <c r="G71" s="4">
        <v>7.0000000000000007E-2</v>
      </c>
      <c r="H71" s="5">
        <f t="shared" si="1"/>
        <v>-171.45480000000001</v>
      </c>
      <c r="I71" s="1"/>
      <c r="J71" s="1">
        <v>171.45</v>
      </c>
      <c r="K71" s="1" t="s">
        <v>146</v>
      </c>
    </row>
    <row r="72" spans="1:11" x14ac:dyDescent="0.3">
      <c r="A72" s="1">
        <v>189866</v>
      </c>
      <c r="B72" s="2" t="s">
        <v>123</v>
      </c>
      <c r="C72" s="2" t="s">
        <v>43</v>
      </c>
      <c r="D72" s="2" t="s">
        <v>2</v>
      </c>
      <c r="E72" s="1">
        <v>2</v>
      </c>
      <c r="F72" s="3"/>
      <c r="G72" s="4">
        <v>0.107</v>
      </c>
      <c r="H72" s="5">
        <f t="shared" si="1"/>
        <v>0</v>
      </c>
      <c r="I72" s="1"/>
      <c r="J72" s="1"/>
      <c r="K72" s="1"/>
    </row>
    <row r="73" spans="1:11" x14ac:dyDescent="0.3">
      <c r="A73" s="1">
        <v>190337</v>
      </c>
      <c r="B73" s="2" t="s">
        <v>124</v>
      </c>
      <c r="C73" s="2" t="s">
        <v>125</v>
      </c>
      <c r="D73" s="2" t="s">
        <v>2</v>
      </c>
      <c r="E73" s="1">
        <v>2</v>
      </c>
      <c r="F73" s="3"/>
      <c r="G73" s="4">
        <v>0.107</v>
      </c>
      <c r="H73" s="5">
        <f t="shared" si="1"/>
        <v>0</v>
      </c>
      <c r="I73" s="1"/>
      <c r="J73" s="1"/>
      <c r="K73" s="1"/>
    </row>
    <row r="74" spans="1:11" x14ac:dyDescent="0.3">
      <c r="A74" s="1">
        <v>191022</v>
      </c>
      <c r="B74" s="2" t="s">
        <v>50</v>
      </c>
      <c r="C74" s="2" t="s">
        <v>25</v>
      </c>
      <c r="D74" s="2" t="s">
        <v>2</v>
      </c>
      <c r="E74" s="1">
        <v>2</v>
      </c>
      <c r="F74" s="3"/>
      <c r="G74" s="4">
        <v>0.107</v>
      </c>
      <c r="H74" s="5">
        <f t="shared" si="1"/>
        <v>0</v>
      </c>
      <c r="I74" s="1"/>
      <c r="J74" s="1"/>
      <c r="K74" s="1"/>
    </row>
    <row r="75" spans="1:11" x14ac:dyDescent="0.3">
      <c r="A75" s="1">
        <v>192937</v>
      </c>
      <c r="B75" s="2" t="s">
        <v>51</v>
      </c>
      <c r="C75" s="2" t="s">
        <v>34</v>
      </c>
      <c r="D75" s="2" t="s">
        <v>2</v>
      </c>
      <c r="E75" s="1">
        <v>1</v>
      </c>
      <c r="F75" s="3"/>
      <c r="G75" s="4">
        <v>0.107</v>
      </c>
      <c r="H75" s="5">
        <f t="shared" si="1"/>
        <v>0</v>
      </c>
      <c r="I75" s="1"/>
      <c r="J75" s="1"/>
      <c r="K75" s="1"/>
    </row>
    <row r="76" spans="1:11" x14ac:dyDescent="0.3">
      <c r="A76" s="1">
        <v>193044</v>
      </c>
      <c r="B76" s="2" t="s">
        <v>52</v>
      </c>
      <c r="C76" s="2" t="s">
        <v>19</v>
      </c>
      <c r="D76" s="2" t="s">
        <v>2</v>
      </c>
      <c r="E76" s="1">
        <v>2</v>
      </c>
      <c r="F76" s="3">
        <v>224.19</v>
      </c>
      <c r="G76" s="4">
        <v>0.107</v>
      </c>
      <c r="H76" s="5">
        <f t="shared" si="1"/>
        <v>-200.20167000000001</v>
      </c>
      <c r="I76" s="1"/>
      <c r="J76" s="1">
        <v>200.2</v>
      </c>
      <c r="K76" s="1"/>
    </row>
    <row r="77" spans="1:11" x14ac:dyDescent="0.3">
      <c r="A77" s="1">
        <v>194719</v>
      </c>
      <c r="B77" s="2" t="s">
        <v>53</v>
      </c>
      <c r="C77" s="2" t="s">
        <v>25</v>
      </c>
      <c r="D77" s="2" t="s">
        <v>2</v>
      </c>
      <c r="E77" s="1">
        <v>1</v>
      </c>
      <c r="F77" s="3"/>
      <c r="G77" s="4">
        <v>0.107</v>
      </c>
      <c r="H77" s="5">
        <f t="shared" si="1"/>
        <v>0</v>
      </c>
      <c r="I77" s="1"/>
      <c r="J77" s="1"/>
      <c r="K77" s="1"/>
    </row>
    <row r="78" spans="1:11" x14ac:dyDescent="0.3">
      <c r="A78" s="1">
        <v>194753</v>
      </c>
      <c r="B78" s="2" t="s">
        <v>126</v>
      </c>
      <c r="C78" s="2" t="s">
        <v>127</v>
      </c>
      <c r="D78" s="2" t="s">
        <v>2</v>
      </c>
      <c r="E78" s="1">
        <v>2</v>
      </c>
      <c r="F78" s="3"/>
      <c r="G78" s="4">
        <v>0.107</v>
      </c>
      <c r="H78" s="5">
        <f t="shared" si="1"/>
        <v>0</v>
      </c>
      <c r="I78" s="1"/>
      <c r="J78" s="1"/>
      <c r="K78" s="1"/>
    </row>
    <row r="79" spans="1:11" x14ac:dyDescent="0.3">
      <c r="A79" s="1">
        <v>202379</v>
      </c>
      <c r="B79" s="2" t="s">
        <v>54</v>
      </c>
      <c r="C79" s="2" t="s">
        <v>55</v>
      </c>
      <c r="D79" s="2" t="s">
        <v>2</v>
      </c>
      <c r="E79" s="1">
        <v>4</v>
      </c>
      <c r="F79" s="3">
        <v>96.89</v>
      </c>
      <c r="G79" s="4">
        <v>0.04</v>
      </c>
      <c r="H79" s="5">
        <f t="shared" si="1"/>
        <v>-93.014399999999995</v>
      </c>
      <c r="I79" s="1"/>
      <c r="J79" s="1">
        <v>93.01</v>
      </c>
      <c r="K79" s="1" t="s">
        <v>147</v>
      </c>
    </row>
    <row r="80" spans="1:11" x14ac:dyDescent="0.3">
      <c r="A80" s="1">
        <v>203204</v>
      </c>
      <c r="B80" s="2" t="s">
        <v>128</v>
      </c>
      <c r="C80" s="2" t="s">
        <v>19</v>
      </c>
      <c r="D80" s="2" t="s">
        <v>2</v>
      </c>
      <c r="E80" s="1">
        <v>1</v>
      </c>
      <c r="F80" s="3"/>
      <c r="G80" s="4">
        <v>0.04</v>
      </c>
      <c r="H80" s="5">
        <f t="shared" si="1"/>
        <v>0</v>
      </c>
      <c r="I80" s="1"/>
      <c r="J80" s="1"/>
      <c r="K80" s="1"/>
    </row>
    <row r="81" spans="1:11" x14ac:dyDescent="0.3">
      <c r="A81" s="1">
        <v>204398</v>
      </c>
      <c r="B81" s="2" t="s">
        <v>129</v>
      </c>
      <c r="C81" s="2" t="s">
        <v>41</v>
      </c>
      <c r="D81" s="2" t="s">
        <v>2</v>
      </c>
      <c r="E81" s="1">
        <v>4</v>
      </c>
      <c r="F81" s="3"/>
      <c r="G81" s="4">
        <v>0.04</v>
      </c>
      <c r="H81" s="5">
        <f t="shared" si="1"/>
        <v>0</v>
      </c>
      <c r="I81" s="1"/>
      <c r="J81" s="1"/>
      <c r="K81" s="1"/>
    </row>
    <row r="82" spans="1:11" x14ac:dyDescent="0.3">
      <c r="A82" s="1">
        <v>206069</v>
      </c>
      <c r="B82" s="2" t="s">
        <v>130</v>
      </c>
      <c r="C82" s="2" t="s">
        <v>131</v>
      </c>
      <c r="D82" s="2" t="s">
        <v>2</v>
      </c>
      <c r="E82" s="1">
        <v>1</v>
      </c>
      <c r="F82" s="3">
        <v>17.96</v>
      </c>
      <c r="G82" s="4">
        <v>0.04</v>
      </c>
      <c r="H82" s="5">
        <f t="shared" si="1"/>
        <v>-17.241600000000002</v>
      </c>
      <c r="I82" s="1"/>
      <c r="J82" s="1">
        <v>17.239999999999998</v>
      </c>
      <c r="K82" s="1"/>
    </row>
    <row r="83" spans="1:11" x14ac:dyDescent="0.3">
      <c r="A83" s="1">
        <v>206307</v>
      </c>
      <c r="B83" s="2" t="s">
        <v>56</v>
      </c>
      <c r="C83" s="2" t="s">
        <v>27</v>
      </c>
      <c r="D83" s="2" t="s">
        <v>2</v>
      </c>
      <c r="E83" s="1">
        <v>2</v>
      </c>
      <c r="F83" s="3"/>
      <c r="G83" s="4">
        <v>0.04</v>
      </c>
      <c r="H83" s="5">
        <f t="shared" si="1"/>
        <v>0</v>
      </c>
      <c r="I83" s="1"/>
      <c r="J83" s="1"/>
      <c r="K83" s="1"/>
    </row>
    <row r="84" spans="1:11" x14ac:dyDescent="0.3">
      <c r="A84" s="1">
        <v>207117</v>
      </c>
      <c r="B84" s="2" t="s">
        <v>132</v>
      </c>
      <c r="C84" s="2" t="s">
        <v>133</v>
      </c>
      <c r="D84" s="2" t="s">
        <v>2</v>
      </c>
      <c r="E84" s="1">
        <v>2</v>
      </c>
      <c r="F84" s="3">
        <v>44.5</v>
      </c>
      <c r="G84" s="4">
        <v>0.04</v>
      </c>
      <c r="H84" s="5">
        <f t="shared" si="1"/>
        <v>-42.72</v>
      </c>
      <c r="I84" s="1"/>
      <c r="J84" s="1">
        <v>42.72</v>
      </c>
      <c r="K84" s="1" t="s">
        <v>148</v>
      </c>
    </row>
    <row r="85" spans="1:11" x14ac:dyDescent="0.3">
      <c r="A85" s="1">
        <v>207277</v>
      </c>
      <c r="B85" s="2" t="s">
        <v>134</v>
      </c>
      <c r="C85" s="2" t="s">
        <v>135</v>
      </c>
      <c r="D85" s="2" t="s">
        <v>2</v>
      </c>
      <c r="E85" s="1">
        <v>1</v>
      </c>
      <c r="F85" s="3"/>
      <c r="G85" s="4">
        <v>0.107</v>
      </c>
      <c r="H85" s="5">
        <f t="shared" si="1"/>
        <v>0</v>
      </c>
      <c r="I85" s="1"/>
      <c r="J85" s="1"/>
      <c r="K85" s="1"/>
    </row>
    <row r="86" spans="1:11" x14ac:dyDescent="0.3">
      <c r="A86" s="1">
        <v>208019</v>
      </c>
      <c r="B86" s="2" t="s">
        <v>136</v>
      </c>
      <c r="C86" s="2" t="s">
        <v>137</v>
      </c>
      <c r="D86" s="2" t="s">
        <v>2</v>
      </c>
      <c r="E86" s="1">
        <v>1</v>
      </c>
      <c r="F86" s="3"/>
      <c r="G86" s="4">
        <v>0.107</v>
      </c>
      <c r="H86" s="5">
        <f t="shared" si="1"/>
        <v>0</v>
      </c>
      <c r="I86" s="1"/>
      <c r="J86" s="1"/>
      <c r="K86" s="1"/>
    </row>
    <row r="87" spans="1:11" x14ac:dyDescent="0.3">
      <c r="A87" s="1">
        <v>211355</v>
      </c>
      <c r="B87" s="2" t="s">
        <v>138</v>
      </c>
      <c r="C87" s="2" t="s">
        <v>6</v>
      </c>
      <c r="D87" s="2" t="s">
        <v>2</v>
      </c>
      <c r="E87" s="1">
        <v>1</v>
      </c>
      <c r="F87" s="3"/>
      <c r="G87" s="4">
        <v>0.107</v>
      </c>
      <c r="H87" s="5">
        <f t="shared" si="1"/>
        <v>0</v>
      </c>
      <c r="I87" s="1"/>
      <c r="J87" s="1"/>
      <c r="K87" s="1"/>
    </row>
    <row r="88" spans="1:11" x14ac:dyDescent="0.3">
      <c r="A88" s="1">
        <v>214256</v>
      </c>
      <c r="B88" s="2" t="s">
        <v>57</v>
      </c>
      <c r="C88" s="2" t="s">
        <v>8</v>
      </c>
      <c r="D88" s="2" t="s">
        <v>2</v>
      </c>
      <c r="E88" s="1">
        <v>2</v>
      </c>
      <c r="F88" s="3"/>
      <c r="G88" s="4">
        <v>0.107</v>
      </c>
      <c r="H88" s="5">
        <f t="shared" si="1"/>
        <v>0</v>
      </c>
      <c r="I88" s="1"/>
      <c r="J88" s="1"/>
      <c r="K88" s="1"/>
    </row>
    <row r="89" spans="1:11" x14ac:dyDescent="0.3">
      <c r="A89" s="1">
        <v>215069</v>
      </c>
      <c r="B89" s="2" t="s">
        <v>139</v>
      </c>
      <c r="C89" s="2" t="s">
        <v>101</v>
      </c>
      <c r="D89" s="2" t="s">
        <v>2</v>
      </c>
      <c r="E89" s="1">
        <v>2</v>
      </c>
      <c r="F89" s="3"/>
      <c r="G89" s="4">
        <v>0.107</v>
      </c>
      <c r="H89" s="5">
        <f t="shared" si="1"/>
        <v>0</v>
      </c>
      <c r="I89" s="1"/>
      <c r="J89" s="1"/>
      <c r="K89" s="1"/>
    </row>
    <row r="90" spans="1:11" x14ac:dyDescent="0.3">
      <c r="A90" s="1">
        <v>216244</v>
      </c>
      <c r="B90" s="2" t="s">
        <v>58</v>
      </c>
      <c r="C90" s="2" t="s">
        <v>34</v>
      </c>
      <c r="D90" s="2" t="s">
        <v>2</v>
      </c>
      <c r="E90" s="1">
        <v>2</v>
      </c>
      <c r="F90" s="3"/>
      <c r="G90" s="4">
        <v>0.107</v>
      </c>
      <c r="H90" s="5">
        <f t="shared" si="1"/>
        <v>0</v>
      </c>
      <c r="I90" s="1"/>
      <c r="J90" s="1"/>
      <c r="K90" s="1"/>
    </row>
    <row r="91" spans="1:11" x14ac:dyDescent="0.3">
      <c r="A91" s="1">
        <v>216248</v>
      </c>
      <c r="B91" s="2" t="s">
        <v>140</v>
      </c>
      <c r="C91" s="2" t="s">
        <v>19</v>
      </c>
      <c r="D91" s="2" t="s">
        <v>2</v>
      </c>
      <c r="E91" s="1">
        <v>1</v>
      </c>
      <c r="F91" s="3"/>
      <c r="G91" s="4">
        <v>0.107</v>
      </c>
      <c r="H91" s="5">
        <f t="shared" si="1"/>
        <v>0</v>
      </c>
      <c r="I91" s="1"/>
      <c r="J91" s="1"/>
      <c r="K91" s="1"/>
    </row>
    <row r="92" spans="1:11" x14ac:dyDescent="0.3">
      <c r="A92" s="1">
        <v>217352</v>
      </c>
      <c r="B92" s="2" t="s">
        <v>59</v>
      </c>
      <c r="C92" s="2" t="s">
        <v>60</v>
      </c>
      <c r="D92" s="2" t="s">
        <v>2</v>
      </c>
      <c r="E92" s="1">
        <v>1</v>
      </c>
      <c r="F92" s="3"/>
      <c r="G92" s="4">
        <v>0.107</v>
      </c>
      <c r="H92" s="5">
        <f t="shared" si="1"/>
        <v>0</v>
      </c>
      <c r="I92" s="1"/>
      <c r="J92" s="1"/>
      <c r="K92" s="1"/>
    </row>
    <row r="93" spans="1:11" x14ac:dyDescent="0.3">
      <c r="A93" s="1">
        <v>218165</v>
      </c>
      <c r="B93" s="2" t="s">
        <v>61</v>
      </c>
      <c r="C93" s="2" t="s">
        <v>62</v>
      </c>
      <c r="D93" s="2" t="s">
        <v>2</v>
      </c>
      <c r="E93" s="1">
        <v>1</v>
      </c>
      <c r="F93" s="3">
        <v>165.92</v>
      </c>
      <c r="G93" s="4">
        <v>0.04</v>
      </c>
      <c r="H93" s="5">
        <f t="shared" si="1"/>
        <v>-159.28319999999999</v>
      </c>
      <c r="I93" s="1"/>
      <c r="J93" s="1">
        <v>159.28</v>
      </c>
      <c r="K93" s="1"/>
    </row>
    <row r="94" spans="1:11" x14ac:dyDescent="0.3">
      <c r="A94" s="1">
        <v>218165</v>
      </c>
      <c r="B94" s="2" t="s">
        <v>61</v>
      </c>
      <c r="C94" s="2" t="s">
        <v>62</v>
      </c>
      <c r="D94" s="2" t="s">
        <v>2</v>
      </c>
      <c r="E94" s="1">
        <v>1</v>
      </c>
      <c r="F94" s="3">
        <v>165.92</v>
      </c>
      <c r="G94" s="4">
        <v>0.04</v>
      </c>
      <c r="H94" s="5">
        <f t="shared" si="1"/>
        <v>-159.28319999999999</v>
      </c>
      <c r="I94" s="1"/>
      <c r="J94" s="1">
        <v>159.28</v>
      </c>
      <c r="K94" s="1"/>
    </row>
    <row r="95" spans="1:11" x14ac:dyDescent="0.3">
      <c r="A95" s="1">
        <v>220777</v>
      </c>
      <c r="B95" s="2" t="s">
        <v>141</v>
      </c>
      <c r="C95" s="2" t="s">
        <v>8</v>
      </c>
      <c r="D95" s="2" t="s">
        <v>2</v>
      </c>
      <c r="E95" s="1">
        <v>4</v>
      </c>
      <c r="F95" s="3"/>
      <c r="G95" s="4">
        <v>0.107</v>
      </c>
      <c r="H95" s="5">
        <f t="shared" si="1"/>
        <v>0</v>
      </c>
      <c r="I95" s="1"/>
      <c r="J95" s="1"/>
      <c r="K95" s="1"/>
    </row>
    <row r="96" spans="1:11" x14ac:dyDescent="0.3">
      <c r="A96" s="1">
        <v>222072</v>
      </c>
      <c r="B96" s="2" t="s">
        <v>63</v>
      </c>
      <c r="C96" s="2" t="s">
        <v>43</v>
      </c>
      <c r="D96" s="2" t="s">
        <v>2</v>
      </c>
      <c r="E96" s="1">
        <v>1</v>
      </c>
      <c r="F96" s="3">
        <v>174.31</v>
      </c>
      <c r="G96" s="4">
        <v>0.04</v>
      </c>
      <c r="H96" s="5">
        <f t="shared" si="1"/>
        <v>-167.33760000000001</v>
      </c>
      <c r="I96" s="1"/>
      <c r="J96" s="1">
        <v>167.34</v>
      </c>
      <c r="K96" s="1"/>
    </row>
    <row r="97" spans="1:11" x14ac:dyDescent="0.3">
      <c r="A97" s="1">
        <v>222347</v>
      </c>
      <c r="B97" s="2" t="s">
        <v>64</v>
      </c>
      <c r="C97" s="2" t="s">
        <v>8</v>
      </c>
      <c r="D97" s="2" t="s">
        <v>2</v>
      </c>
      <c r="E97" s="1">
        <v>2</v>
      </c>
      <c r="F97" s="3"/>
      <c r="G97" s="4">
        <v>0.107</v>
      </c>
      <c r="H97" s="5">
        <f t="shared" si="1"/>
        <v>0</v>
      </c>
      <c r="I97" s="1"/>
      <c r="J97" s="1"/>
      <c r="K97" s="1"/>
    </row>
    <row r="98" spans="1:11" x14ac:dyDescent="0.3">
      <c r="A98" s="1">
        <v>222431</v>
      </c>
      <c r="B98" s="2" t="s">
        <v>142</v>
      </c>
      <c r="C98" s="2" t="s">
        <v>143</v>
      </c>
      <c r="D98" s="2" t="s">
        <v>2</v>
      </c>
      <c r="E98" s="1">
        <v>2</v>
      </c>
      <c r="F98" s="3"/>
      <c r="G98" s="4">
        <v>0.107</v>
      </c>
      <c r="H98" s="5">
        <f t="shared" si="1"/>
        <v>0</v>
      </c>
      <c r="I98" s="1"/>
      <c r="J98" s="1"/>
      <c r="K98" s="1"/>
    </row>
  </sheetData>
  <sortState xmlns:xlrd2="http://schemas.microsoft.com/office/spreadsheetml/2017/richdata2" ref="A2:E98">
    <sortCondition ref="A98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2026-09-17T18:24:34Z</dcterms:created>
  <dcterms:modified xsi:type="dcterms:W3CDTF">2026-09-18T16:49:38Z</dcterms:modified>
</cp:coreProperties>
</file>